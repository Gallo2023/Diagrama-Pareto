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briel\Downloads\"/>
    </mc:Choice>
  </mc:AlternateContent>
  <bookViews>
    <workbookView xWindow="0" yWindow="0" windowWidth="20400" windowHeight="7665" activeTab="1"/>
  </bookViews>
  <sheets>
    <sheet name="Base" sheetId="1" r:id="rId1"/>
    <sheet name="Pareto" sheetId="2" r:id="rId2"/>
  </sheets>
  <definedNames>
    <definedName name="_xlchart.0" hidden="1">Pareto!$B$4:$B$13</definedName>
    <definedName name="_xlchart.1" hidden="1">Pareto!$C$3</definedName>
    <definedName name="_xlchart.10" hidden="1">Pareto!$C$3</definedName>
    <definedName name="_xlchart.11" hidden="1">Pareto!$C$4:$C$13</definedName>
    <definedName name="_xlchart.12" hidden="1">Pareto!$D$3</definedName>
    <definedName name="_xlchart.13" hidden="1">Pareto!$D$4:$D$13</definedName>
    <definedName name="_xlchart.14" hidden="1">Pareto!$E$3</definedName>
    <definedName name="_xlchart.15" hidden="1">Pareto!$E$4:$E$13</definedName>
    <definedName name="_xlchart.16" hidden="1">Pareto!$F$3</definedName>
    <definedName name="_xlchart.17" hidden="1">Pareto!$F$4:$F$13</definedName>
    <definedName name="_xlchart.18" hidden="1">Pareto!$B$4:$B$13</definedName>
    <definedName name="_xlchart.19" hidden="1">Pareto!$C$3</definedName>
    <definedName name="_xlchart.2" hidden="1">Pareto!$C$4:$C$13</definedName>
    <definedName name="_xlchart.20" hidden="1">Pareto!$C$4:$C$13</definedName>
    <definedName name="_xlchart.21" hidden="1">Pareto!$D$3</definedName>
    <definedName name="_xlchart.22" hidden="1">Pareto!$D$4:$D$13</definedName>
    <definedName name="_xlchart.23" hidden="1">Pareto!$E$3</definedName>
    <definedName name="_xlchart.24" hidden="1">Pareto!$E$4:$E$13</definedName>
    <definedName name="_xlchart.25" hidden="1">Pareto!$F$3</definedName>
    <definedName name="_xlchart.26" hidden="1">Pareto!$F$4:$F$13</definedName>
    <definedName name="_xlchart.27" hidden="1">Pareto!$B$4:$B$13</definedName>
    <definedName name="_xlchart.28" hidden="1">Pareto!$C$3</definedName>
    <definedName name="_xlchart.29" hidden="1">Pareto!$C$4:$C$13</definedName>
    <definedName name="_xlchart.3" hidden="1">Pareto!$D$3</definedName>
    <definedName name="_xlchart.30" hidden="1">Pareto!$D$3</definedName>
    <definedName name="_xlchart.31" hidden="1">Pareto!$D$4:$D$13</definedName>
    <definedName name="_xlchart.32" hidden="1">Pareto!$E$3</definedName>
    <definedName name="_xlchart.33" hidden="1">Pareto!$E$4:$E$13</definedName>
    <definedName name="_xlchart.34" hidden="1">Pareto!$F$3</definedName>
    <definedName name="_xlchart.35" hidden="1">Pareto!$F$4:$F$13</definedName>
    <definedName name="_xlchart.36" hidden="1">Pareto!$B$4:$B$13</definedName>
    <definedName name="_xlchart.37" hidden="1">Pareto!$C$3</definedName>
    <definedName name="_xlchart.38" hidden="1">Pareto!$C$4:$C$13</definedName>
    <definedName name="_xlchart.39" hidden="1">Pareto!$D$3</definedName>
    <definedName name="_xlchart.4" hidden="1">Pareto!$D$4:$D$13</definedName>
    <definedName name="_xlchart.40" hidden="1">Pareto!$D$4:$D$13</definedName>
    <definedName name="_xlchart.41" hidden="1">Pareto!$E$3</definedName>
    <definedName name="_xlchart.42" hidden="1">Pareto!$E$4:$E$13</definedName>
    <definedName name="_xlchart.43" hidden="1">Pareto!$F$3</definedName>
    <definedName name="_xlchart.44" hidden="1">Pareto!$F$4:$F$13</definedName>
    <definedName name="_xlchart.5" hidden="1">Pareto!$E$3</definedName>
    <definedName name="_xlchart.6" hidden="1">Pareto!$E$4:$E$13</definedName>
    <definedName name="_xlchart.7" hidden="1">Pareto!$F$3</definedName>
    <definedName name="_xlchart.8" hidden="1">Pareto!$F$4:$F$13</definedName>
    <definedName name="_xlchart.9" hidden="1">Pareto!$B$4:$B$13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2" l="1"/>
  <c r="F6" i="2"/>
  <c r="F7" i="2"/>
  <c r="F8" i="2"/>
  <c r="F9" i="2"/>
  <c r="F10" i="2"/>
  <c r="F11" i="2"/>
  <c r="F12" i="2"/>
  <c r="F13" i="2"/>
  <c r="F4" i="2"/>
  <c r="E6" i="2"/>
  <c r="E7" i="2"/>
  <c r="E8" i="2" s="1"/>
  <c r="E9" i="2" s="1"/>
  <c r="E10" i="2" s="1"/>
  <c r="E11" i="2" s="1"/>
  <c r="E12" i="2" s="1"/>
  <c r="E13" i="2" s="1"/>
  <c r="E5" i="2"/>
  <c r="E4" i="2"/>
  <c r="D14" i="2"/>
  <c r="D5" i="2"/>
  <c r="D6" i="2"/>
  <c r="D7" i="2"/>
  <c r="D8" i="2"/>
  <c r="D9" i="2"/>
  <c r="D10" i="2"/>
  <c r="D11" i="2"/>
  <c r="D12" i="2"/>
  <c r="D13" i="2"/>
  <c r="D4" i="2"/>
  <c r="C14" i="2"/>
</calcChain>
</file>

<file path=xl/sharedStrings.xml><?xml version="1.0" encoding="utf-8"?>
<sst xmlns="http://schemas.openxmlformats.org/spreadsheetml/2006/main" count="36" uniqueCount="19">
  <si>
    <t>PRODUCTOS DEFECTUOSOS</t>
  </si>
  <si>
    <t>CODIGO</t>
  </si>
  <si>
    <t>FRECUENCIA</t>
  </si>
  <si>
    <t>%</t>
  </si>
  <si>
    <t>ACUMULADO</t>
  </si>
  <si>
    <t>% ACUM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</si>
  <si>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</si>
  <si>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</si>
  <si>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</si>
  <si>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</si>
  <si>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</si>
  <si>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</si>
  <si>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</si>
  <si>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</si>
  <si>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</si>
  <si>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</si>
  <si>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TOTAL</t>
  </si>
  <si>
    <t>P0004, P0009, P0010 y P0005</t>
  </si>
  <si>
    <t>El 80% de los productos defectuosos se deben principalmente a 4 productos: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</si>
</sst>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0" fillId="3" borderId="0" xfId="0" applyFill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0" fontId="0" fillId="0" borderId="0" xfId="0" applyFill="1"/>
    <xf numFmtId="0" fontId="0" fillId="4" borderId="1" xfId="0" applyFill="1" applyBorder="1" applyAlignment="1">
      <alignment horizontal="center"/>
    </xf>
    <xf numFmtId="10" fontId="0" fillId="4" borderId="1" xfId="1" applyNumberFormat="1" applyFont="1" applyFill="1" applyBorder="1" applyAlignment="1">
      <alignment horizontal="center"/>
    </xf>
    <xf numFmtId="9" fontId="0" fillId="4" borderId="1" xfId="1" applyFont="1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_xlchart.27</cx:f>
      </cx:strDim>
      <cx:numDim type="val">
        <cx:f>_xlchart.29</cx:f>
      </cx:numDim>
    </cx:data>
    <cx:data id="1">
      <cx:strDim type="cat">
        <cx:f>_xlchart.27</cx:f>
      </cx:strDim>
      <cx:numDim type="val">
        <cx:f>_xlchart.31</cx:f>
      </cx:numDim>
    </cx:data>
    <cx:data id="2">
      <cx:strDim type="cat">
        <cx:f>_xlchart.27</cx:f>
      </cx:strDim>
      <cx:numDim type="val">
        <cx:f>_xlchart.33</cx:f>
      </cx:numDim>
    </cx:data>
    <cx:data id="3">
      <cx:strDim type="cat">
        <cx:f>_xlchart.27</cx:f>
      </cx:strDim>
      <cx:numDim type="val">
        <cx:f>_xlchart.35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s-AR"/>
              <a:t>Histograma Pareto</a:t>
            </a:r>
          </a:p>
        </cx:rich>
      </cx:tx>
    </cx:title>
    <cx:plotArea>
      <cx:plotAreaRegion>
        <cx:series layoutId="clusteredColumn" uniqueId="{2E91018C-39C7-4AEC-8D50-93DF2EB77B06}" formatIdx="0">
          <cx:tx>
            <cx:txData>
              <cx:f>_xlchart.28</cx:f>
              <cx:v>FRECUENCIA</cx:v>
            </cx:txData>
          </cx:tx>
          <cx:dataLabels pos="inEnd">
            <cx:visibility seriesName="0" categoryName="0" value="1"/>
          </cx:dataLabels>
          <cx:dataId val="0"/>
          <cx:layoutPr>
            <cx:aggregation/>
          </cx:layoutPr>
          <cx:axisId val="1"/>
        </cx:series>
        <cx:series layoutId="clusteredColumn" hidden="1" uniqueId="{C7832607-565B-4979-8DAC-9D82DDBA5D8B}" formatIdx="2">
          <cx:tx>
            <cx:txData>
              <cx:f>_xlchart.30</cx:f>
              <cx:v>%</cx:v>
            </cx:txData>
          </cx:tx>
          <cx:dataLabels pos="inEnd">
            <cx:visibility seriesName="0" categoryName="0" value="1"/>
          </cx:dataLabels>
          <cx:dataId val="1"/>
          <cx:layoutPr>
            <cx:aggregation/>
          </cx:layoutPr>
          <cx:axisId val="1"/>
        </cx:series>
        <cx:series layoutId="clusteredColumn" hidden="1" uniqueId="{6A2D1DD8-526F-4A22-AD34-D7AB95B3E0FA}" formatIdx="4">
          <cx:tx>
            <cx:txData>
              <cx:f>_xlchart.32</cx:f>
              <cx:v>ACUMULADO</cx:v>
            </cx:txData>
          </cx:tx>
          <cx:dataLabels pos="inEnd">
            <cx:visibility seriesName="0" categoryName="0" value="1"/>
          </cx:dataLabels>
          <cx:dataId val="2"/>
          <cx:layoutPr>
            <cx:aggregation/>
          </cx:layoutPr>
          <cx:axisId val="1"/>
        </cx:series>
        <cx:series layoutId="clusteredColumn" hidden="1" uniqueId="{A741B625-0A04-4591-88B4-AB01789EC23D}" formatIdx="6">
          <cx:tx>
            <cx:txData>
              <cx:f>_xlchart.34</cx:f>
              <cx:v>% ACUM</cx:v>
            </cx:txData>
          </cx:tx>
          <cx:dataLabels pos="inEnd">
            <cx:visibility seriesName="0" categoryName="0" value="1"/>
          </cx:dataLabels>
          <cx:dataId val="3"/>
          <cx:layoutPr>
            <cx:aggregation/>
          </cx:layoutPr>
          <cx:axisId val="1"/>
        </cx:series>
        <cx:series layoutId="paretoLine" ownerIdx="0" uniqueId="{C4517279-5ACE-4821-94B2-AACD80B422EE}" formatIdx="1">
          <cx:axisId val="2"/>
        </cx:series>
        <cx:series layoutId="paretoLine" ownerIdx="1" uniqueId="{E7EDC925-1DA6-4E56-BC16-129F779AD5ED}" formatIdx="3">
          <cx:axisId val="2"/>
        </cx:series>
        <cx:series layoutId="paretoLine" ownerIdx="2" uniqueId="{1581889E-0AAC-4787-B33C-4C2570088D6C}" formatIdx="5">
          <cx:axisId val="2"/>
        </cx:series>
        <cx:series layoutId="paretoLine" ownerIdx="3" uniqueId="{FD81C2B3-1949-4D71-B3F0-8C2D2E932EBA}" formatIdx="7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clrMapOvr bg1="lt1" tx1="dk1" bg2="lt2" tx2="dk2" accent1="accent1" accent2="accent2" accent3="accent3" accent4="accent4" accent5="accent5" accent6="accent6" hlink="hlink" folHlink="folHlink"/>
</cx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s-AR"/>
              <a:t>Diagrama</a:t>
            </a:r>
            <a:r>
              <a:rPr lang="es-AR" baseline="0"/>
              <a:t> Pareto (barras)</a:t>
            </a:r>
            <a:endParaRPr lang="es-A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Frecuencias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Pareto!$B$4:$B$13</c:f>
              <c:strCache>
                <c:ptCount val="10"/>
                <c:pt idx="0">
                  <c:v>P0004</c:v>
                </c:pt>
                <c:pt idx="1">
                  <c:v>P0009</c:v>
                </c:pt>
                <c:pt idx="2">
                  <c:v>P0010</c:v>
                </c:pt>
                <c:pt idx="3">
                  <c:v>P0005</c:v>
                </c:pt>
                <c:pt idx="4">
                  <c:v>P0008</c:v>
                </c:pt>
                <c:pt idx="5">
                  <c:v>P0007</c:v>
                </c:pt>
                <c:pt idx="6">
                  <c:v>P0006</c:v>
                </c:pt>
                <c:pt idx="7">
                  <c:v>P0002</c:v>
                </c:pt>
                <c:pt idx="8">
                  <c:v>P0001</c:v>
                </c:pt>
                <c:pt idx="9">
                  <c:v>P0003</c:v>
                </c:pt>
              </c:strCache>
            </c:strRef>
          </c:cat>
          <c:val>
            <c:numRef>
              <c:f>Pareto!$C$4:$C$13</c:f>
              <c:numCache>
                <c:formatCode>General</c:formatCode>
                <c:ptCount val="10"/>
                <c:pt idx="0">
                  <c:v>960</c:v>
                </c:pt>
                <c:pt idx="1">
                  <c:v>754</c:v>
                </c:pt>
                <c:pt idx="2">
                  <c:v>373</c:v>
                </c:pt>
                <c:pt idx="3">
                  <c:v>293</c:v>
                </c:pt>
                <c:pt idx="4">
                  <c:v>170</c:v>
                </c:pt>
                <c:pt idx="5">
                  <c:v>120</c:v>
                </c:pt>
                <c:pt idx="6">
                  <c:v>107</c:v>
                </c:pt>
                <c:pt idx="7">
                  <c:v>90</c:v>
                </c:pt>
                <c:pt idx="8">
                  <c:v>59</c:v>
                </c:pt>
                <c:pt idx="9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D1-4785-B993-E2B66913A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19239960"/>
        <c:axId val="365416232"/>
      </c:barChart>
      <c:lineChart>
        <c:grouping val="standard"/>
        <c:varyColors val="0"/>
        <c:ser>
          <c:idx val="1"/>
          <c:order val="1"/>
          <c:tx>
            <c:v>% Acum</c:v>
          </c:tx>
          <c:spPr>
            <a:ln w="34925" cap="rnd">
              <a:solidFill>
                <a:schemeClr val="accent2"/>
              </a:solidFill>
              <a:round/>
            </a:ln>
            <a:effectLst>
              <a:glow rad="127000">
                <a:schemeClr val="accent1">
                  <a:alpha val="94000"/>
                </a:schemeClr>
              </a:glow>
            </a:effectLst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Pareto!$B$4:$B$13</c:f>
              <c:strCache>
                <c:ptCount val="10"/>
                <c:pt idx="0">
                  <c:v>P0004</c:v>
                </c:pt>
                <c:pt idx="1">
                  <c:v>P0009</c:v>
                </c:pt>
                <c:pt idx="2">
                  <c:v>P0010</c:v>
                </c:pt>
                <c:pt idx="3">
                  <c:v>P0005</c:v>
                </c:pt>
                <c:pt idx="4">
                  <c:v>P0008</c:v>
                </c:pt>
                <c:pt idx="5">
                  <c:v>P0007</c:v>
                </c:pt>
                <c:pt idx="6">
                  <c:v>P0006</c:v>
                </c:pt>
                <c:pt idx="7">
                  <c:v>P0002</c:v>
                </c:pt>
                <c:pt idx="8">
                  <c:v>P0001</c:v>
                </c:pt>
                <c:pt idx="9">
                  <c:v>P0003</c:v>
                </c:pt>
              </c:strCache>
            </c:strRef>
          </c:cat>
          <c:val>
            <c:numRef>
              <c:f>Pareto!$F$4:$F$13</c:f>
              <c:numCache>
                <c:formatCode>0%</c:formatCode>
                <c:ptCount val="10"/>
                <c:pt idx="0">
                  <c:v>0.3254237288135593</c:v>
                </c:pt>
                <c:pt idx="1">
                  <c:v>0.58101694915254243</c:v>
                </c:pt>
                <c:pt idx="2">
                  <c:v>0.70745762711864402</c:v>
                </c:pt>
                <c:pt idx="3">
                  <c:v>0.8067796610169492</c:v>
                </c:pt>
                <c:pt idx="4">
                  <c:v>0.86440677966101698</c:v>
                </c:pt>
                <c:pt idx="5">
                  <c:v>0.90508474576271192</c:v>
                </c:pt>
                <c:pt idx="6">
                  <c:v>0.94135593220338987</c:v>
                </c:pt>
                <c:pt idx="7">
                  <c:v>0.97186440677966102</c:v>
                </c:pt>
                <c:pt idx="8">
                  <c:v>0.99186440677966103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7D1-4785-B993-E2B66913A3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5543592"/>
        <c:axId val="385542608"/>
      </c:lineChart>
      <c:catAx>
        <c:axId val="219239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65416232"/>
        <c:crosses val="autoZero"/>
        <c:auto val="1"/>
        <c:lblAlgn val="ctr"/>
        <c:lblOffset val="100"/>
        <c:noMultiLvlLbl val="0"/>
      </c:catAx>
      <c:valAx>
        <c:axId val="365416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19239960"/>
        <c:crosses val="autoZero"/>
        <c:crossBetween val="between"/>
      </c:valAx>
      <c:valAx>
        <c:axId val="385542608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85543592"/>
        <c:crosses val="max"/>
        <c:crossBetween val="between"/>
      </c:valAx>
      <c:catAx>
        <c:axId val="38554359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8554260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0">
  <cs:axisTitle>
    <cs:lnRef idx="0"/>
    <cs:fillRef idx="0"/>
    <cs:effectRef idx="0"/>
    <cs:fontRef idx="minor">
      <a:schemeClr val="lt1">
        <a:lumMod val="85000"/>
      </a:schemeClr>
    </cs:fontRef>
    <cs:defRPr sz="9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lt1"/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 w="9525">
        <a:solidFill>
          <a:schemeClr val="tx1"/>
        </a:solidFill>
      </a:ln>
      <a:effectLst>
        <a:outerShdw blurRad="57150" dist="19050" dir="5400000" algn="ctr" rotWithShape="0">
          <a:srgbClr val="000000">
            <a:alpha val="63000"/>
          </a:srgb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lt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lt1"/>
    </cs:fontRef>
  </cs:dropLine>
  <cs:errorBar>
    <cs:lnRef idx="0"/>
    <cs:fillRef idx="0"/>
    <cs:effectRef idx="0"/>
    <cs:fontRef idx="minor">
      <a:schemeClr val="lt1"/>
    </cs:fontRef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</cs:hiLoLine>
  <cs:leaderLine>
    <cs:lnRef idx="0"/>
    <cs:fillRef idx="0"/>
    <cs:effectRef idx="0"/>
    <cs:fontRef idx="minor">
      <a:schemeClr val="lt1"/>
    </cs:fontRef>
  </cs:leaderLine>
  <cs:legend>
    <cs:lnRef idx="0"/>
    <cs:fillRef idx="0"/>
    <cs:effectRef idx="0"/>
    <cs:fontRef idx="minor">
      <a:schemeClr val="lt1">
        <a:lumMod val="8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14</xdr:row>
      <xdr:rowOff>90486</xdr:rowOff>
    </xdr:from>
    <xdr:to>
      <xdr:col>16</xdr:col>
      <xdr:colOff>76200</xdr:colOff>
      <xdr:row>30</xdr:row>
      <xdr:rowOff>123825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Gráfico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Este gráfico no está disponible en su versión de Excel.
Si edita esta forma o guarda el libro en un formato de archivo diferente, el gráfico no se podrá utilizar.</a:t>
              </a:r>
            </a:p>
          </xdr:txBody>
        </xdr:sp>
      </mc:Fallback>
    </mc:AlternateContent>
    <xdr:clientData/>
  </xdr:twoCellAnchor>
  <xdr:twoCellAnchor>
    <xdr:from>
      <xdr:col>0</xdr:col>
      <xdr:colOff>228600</xdr:colOff>
      <xdr:row>15</xdr:row>
      <xdr:rowOff>4762</xdr:rowOff>
    </xdr:from>
    <xdr:to>
      <xdr:col>6</xdr:col>
      <xdr:colOff>742950</xdr:colOff>
      <xdr:row>29</xdr:row>
      <xdr:rowOff>80962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4"/>
  <sheetViews>
    <sheetView workbookViewId="0">
      <selection activeCell="C21" sqref="C21"/>
    </sheetView>
  </sheetViews>
  <sheetFormatPr baseColWidth="10" defaultRowHeight="15" x14ac:dyDescent="0.25"/>
  <sheetData>
    <row r="2" spans="2:6" x14ac:dyDescent="0.25">
      <c r="B2" s="2" t="s">
        <v>0</v>
      </c>
      <c r="C2" s="2"/>
      <c r="D2" s="2"/>
      <c r="E2" s="2"/>
      <c r="F2" s="2"/>
    </row>
    <row r="3" spans="2:6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2:6" x14ac:dyDescent="0.25">
      <c r="B4" t="s">
        <v>6</v>
      </c>
      <c r="C4">
        <v>59</v>
      </c>
    </row>
    <row r="5" spans="2:6" x14ac:dyDescent="0.25">
      <c r="B5" t="s">
        <v>7</v>
      </c>
      <c r="C5">
        <v>90</v>
      </c>
    </row>
    <row r="6" spans="2:6" x14ac:dyDescent="0.25">
      <c r="B6" t="s">
        <v>8</v>
      </c>
      <c r="C6">
        <v>24</v>
      </c>
    </row>
    <row r="7" spans="2:6" x14ac:dyDescent="0.25">
      <c r="B7" t="s">
        <v>9</v>
      </c>
      <c r="C7">
        <v>960</v>
      </c>
    </row>
    <row r="8" spans="2:6" x14ac:dyDescent="0.25">
      <c r="B8" t="s">
        <v>10</v>
      </c>
      <c r="C8">
        <v>293</v>
      </c>
    </row>
    <row r="9" spans="2:6" x14ac:dyDescent="0.25">
      <c r="B9" t="s">
        <v>11</v>
      </c>
      <c r="C9">
        <v>107</v>
      </c>
    </row>
    <row r="10" spans="2:6" x14ac:dyDescent="0.25">
      <c r="B10" t="s">
        <v>12</v>
      </c>
      <c r="C10">
        <v>120</v>
      </c>
    </row>
    <row r="11" spans="2:6" x14ac:dyDescent="0.25">
      <c r="B11" t="s">
        <v>13</v>
      </c>
      <c r="C11">
        <v>170</v>
      </c>
    </row>
    <row r="12" spans="2:6" x14ac:dyDescent="0.25">
      <c r="B12" t="s">
        <v>14</v>
      </c>
      <c r="C12">
        <v>754</v>
      </c>
    </row>
    <row r="13" spans="2:6" x14ac:dyDescent="0.25">
      <c r="B13" t="s">
        <v>15</v>
      </c>
      <c r="C13">
        <v>373</v>
      </c>
    </row>
    <row r="14" spans="2:6" x14ac:dyDescent="0.25">
      <c r="B14" t="s">
        <v>16</v>
      </c>
    </row>
  </sheetData>
  <mergeCells count="1">
    <mergeCell ref="B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4"/>
  <sheetViews>
    <sheetView tabSelected="1" workbookViewId="0">
      <selection activeCell="K11" sqref="K11"/>
    </sheetView>
  </sheetViews>
  <sheetFormatPr baseColWidth="10" defaultRowHeight="15" x14ac:dyDescent="0.25"/>
  <cols>
    <col min="1" max="1" width="3.7109375" customWidth="1"/>
  </cols>
  <sheetData>
    <row r="2" spans="2:9" x14ac:dyDescent="0.25">
      <c r="B2" s="2" t="s">
        <v>0</v>
      </c>
      <c r="C2" s="2"/>
      <c r="D2" s="2"/>
      <c r="E2" s="2"/>
      <c r="F2" s="2"/>
    </row>
    <row r="3" spans="2:9" x14ac:dyDescent="0.2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I3" s="6" t="s">
        <v>18</v>
      </c>
    </row>
    <row r="4" spans="2:9" x14ac:dyDescent="0.25">
      <c r="B4" s="7" t="s">
        <v>9</v>
      </c>
      <c r="C4" s="7">
        <v>960</v>
      </c>
      <c r="D4" s="8">
        <f>C4/$C$14</f>
        <v>0.3254237288135593</v>
      </c>
      <c r="E4" s="7">
        <f>C4</f>
        <v>960</v>
      </c>
      <c r="F4" s="9">
        <f>E4/$E$13</f>
        <v>0.3254237288135593</v>
      </c>
      <c r="I4" t="s">
        <v>17</v>
      </c>
    </row>
    <row r="5" spans="2:9" x14ac:dyDescent="0.25">
      <c r="B5" s="7" t="s">
        <v>14</v>
      </c>
      <c r="C5" s="7">
        <v>754</v>
      </c>
      <c r="D5" s="8">
        <f t="shared" ref="D5:D13" si="0">C5/$C$14</f>
        <v>0.25559322033898307</v>
      </c>
      <c r="E5" s="7">
        <f>E4+C5</f>
        <v>1714</v>
      </c>
      <c r="F5" s="9">
        <f t="shared" ref="F5:F13" si="1">E5/$E$13</f>
        <v>0.58101694915254243</v>
      </c>
    </row>
    <row r="6" spans="2:9" x14ac:dyDescent="0.25">
      <c r="B6" s="7" t="s">
        <v>15</v>
      </c>
      <c r="C6" s="7">
        <v>373</v>
      </c>
      <c r="D6" s="8">
        <f t="shared" si="0"/>
        <v>0.1264406779661017</v>
      </c>
      <c r="E6" s="7">
        <f t="shared" ref="E6:E13" si="2">E5+C6</f>
        <v>2087</v>
      </c>
      <c r="F6" s="9">
        <f t="shared" si="1"/>
        <v>0.70745762711864402</v>
      </c>
    </row>
    <row r="7" spans="2:9" x14ac:dyDescent="0.25">
      <c r="B7" s="7" t="s">
        <v>10</v>
      </c>
      <c r="C7" s="7">
        <v>293</v>
      </c>
      <c r="D7" s="8">
        <f t="shared" si="0"/>
        <v>9.9322033898305087E-2</v>
      </c>
      <c r="E7" s="7">
        <f t="shared" si="2"/>
        <v>2380</v>
      </c>
      <c r="F7" s="9">
        <f t="shared" si="1"/>
        <v>0.8067796610169492</v>
      </c>
    </row>
    <row r="8" spans="2:9" x14ac:dyDescent="0.25">
      <c r="B8" s="3" t="s">
        <v>13</v>
      </c>
      <c r="C8" s="3">
        <v>170</v>
      </c>
      <c r="D8" s="5">
        <f t="shared" si="0"/>
        <v>5.7627118644067797E-2</v>
      </c>
      <c r="E8" s="3">
        <f t="shared" si="2"/>
        <v>2550</v>
      </c>
      <c r="F8" s="4">
        <f t="shared" si="1"/>
        <v>0.86440677966101698</v>
      </c>
    </row>
    <row r="9" spans="2:9" x14ac:dyDescent="0.25">
      <c r="B9" s="3" t="s">
        <v>12</v>
      </c>
      <c r="C9" s="3">
        <v>120</v>
      </c>
      <c r="D9" s="5">
        <f t="shared" si="0"/>
        <v>4.0677966101694912E-2</v>
      </c>
      <c r="E9" s="3">
        <f t="shared" si="2"/>
        <v>2670</v>
      </c>
      <c r="F9" s="4">
        <f t="shared" si="1"/>
        <v>0.90508474576271192</v>
      </c>
    </row>
    <row r="10" spans="2:9" x14ac:dyDescent="0.25">
      <c r="B10" s="3" t="s">
        <v>11</v>
      </c>
      <c r="C10" s="3">
        <v>107</v>
      </c>
      <c r="D10" s="5">
        <f t="shared" si="0"/>
        <v>3.6271186440677963E-2</v>
      </c>
      <c r="E10" s="3">
        <f t="shared" si="2"/>
        <v>2777</v>
      </c>
      <c r="F10" s="4">
        <f t="shared" si="1"/>
        <v>0.94135593220338987</v>
      </c>
    </row>
    <row r="11" spans="2:9" x14ac:dyDescent="0.25">
      <c r="B11" s="3" t="s">
        <v>7</v>
      </c>
      <c r="C11" s="3">
        <v>90</v>
      </c>
      <c r="D11" s="5">
        <f t="shared" si="0"/>
        <v>3.0508474576271188E-2</v>
      </c>
      <c r="E11" s="3">
        <f t="shared" si="2"/>
        <v>2867</v>
      </c>
      <c r="F11" s="4">
        <f t="shared" si="1"/>
        <v>0.97186440677966102</v>
      </c>
    </row>
    <row r="12" spans="2:9" x14ac:dyDescent="0.25">
      <c r="B12" s="3" t="s">
        <v>6</v>
      </c>
      <c r="C12" s="3">
        <v>59</v>
      </c>
      <c r="D12" s="5">
        <f t="shared" si="0"/>
        <v>0.02</v>
      </c>
      <c r="E12" s="3">
        <f t="shared" si="2"/>
        <v>2926</v>
      </c>
      <c r="F12" s="4">
        <f t="shared" si="1"/>
        <v>0.99186440677966103</v>
      </c>
    </row>
    <row r="13" spans="2:9" x14ac:dyDescent="0.25">
      <c r="B13" s="3" t="s">
        <v>8</v>
      </c>
      <c r="C13" s="3">
        <v>24</v>
      </c>
      <c r="D13" s="5">
        <f t="shared" si="0"/>
        <v>8.1355932203389832E-3</v>
      </c>
      <c r="E13" s="3">
        <f t="shared" si="2"/>
        <v>2950</v>
      </c>
      <c r="F13" s="4">
        <f t="shared" si="1"/>
        <v>1</v>
      </c>
    </row>
    <row r="14" spans="2:9" x14ac:dyDescent="0.25">
      <c r="B14" s="3" t="s">
        <v>16</v>
      </c>
      <c r="C14" s="3">
        <f>SUM(C4:C13)</f>
        <v>2950</v>
      </c>
      <c r="D14" s="4">
        <f>SUM(D4:D13)</f>
        <v>0.99999999999999989</v>
      </c>
    </row>
  </sheetData>
  <sortState ref="B4:C13">
    <sortCondition descending="1" ref="C4:C13"/>
  </sortState>
  <mergeCells count="1">
    <mergeCell ref="B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Pareto</vt:lpstr>
    </vt:vector>
  </TitlesOfParts>
  <Company>DARWIN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Diagrama Pareto</dc:title>
  <dc:creator>Gabriel Gallardo</dc:creator>
  <cp:lastModifiedBy>Gabriel</cp:lastModifiedBy>
  <dcterms:created xsi:type="dcterms:W3CDTF">2026-05-09T17:45:33Z</dcterms:created>
  <dcterms:modified xsi:type="dcterms:W3CDTF">2026-05-09T18:26:27Z</dcterms:modified>
</cp:coreProperties>
</file>